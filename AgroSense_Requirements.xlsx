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ctional Requirements" sheetId="1" state="visible" r:id="rId3"/>
    <sheet name="Non-Functional Requirements" sheetId="2" state="visible" r:id="rId4"/>
    <sheet name="Modules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<sst xmlns="http://schemas.openxmlformats.org/spreadsheetml/2006/main" count="213" uniqueCount="173">
  <si>
    <t xml:space="preserve">AgroSense — Functional Requirements</t>
  </si>
  <si>
    <t xml:space="preserve">Requirements grouped by module. Each requirement has a unique code, name, and description.</t>
  </si>
  <si>
    <t xml:space="preserve">Code</t>
  </si>
  <si>
    <t xml:space="preserve">Name</t>
  </si>
  <si>
    <t xml:space="preserve">Description</t>
  </si>
  <si>
    <t xml:space="preserve">Module</t>
  </si>
  <si>
    <t xml:space="preserve">UM-01</t>
  </si>
  <si>
    <t xml:space="preserve">User Registration</t>
  </si>
  <si>
    <t xml:space="preserve">Allow a farmer to create an account with basic profile information (name, email, phone, password).</t>
  </si>
  <si>
    <t xml:space="preserve">User &amp; Farm Management</t>
  </si>
  <si>
    <t xml:space="preserve">UM-02</t>
  </si>
  <si>
    <t xml:space="preserve">User Login</t>
  </si>
  <si>
    <t xml:space="preserve">Allow a registered user to log in to the platform using their email/username and password.</t>
  </si>
  <si>
    <t xml:space="preserve">UM-03</t>
  </si>
  <si>
    <t xml:space="preserve">Password Recovery</t>
  </si>
  <si>
    <t xml:space="preserve">Allow a user to reset a forgotten password through a verification link sent by email.</t>
  </si>
  <si>
    <t xml:space="preserve">UM-04</t>
  </si>
  <si>
    <t xml:space="preserve">Farm Profile Creation</t>
  </si>
  <si>
    <t xml:space="preserve">Allow a user to register one or more farms, including location and total area.</t>
  </si>
  <si>
    <t xml:space="preserve">UM-05</t>
  </si>
  <si>
    <t xml:space="preserve">Plot Management</t>
  </si>
  <si>
    <t xml:space="preserve">Allow a user to add, edit, or remove individual plots within a registered farm.</t>
  </si>
  <si>
    <t xml:space="preserve">SD-01</t>
  </si>
  <si>
    <t xml:space="preserve">Sensor Registration</t>
  </si>
  <si>
    <t xml:space="preserve">Allow a user or administrator to register a new soil-moisture sensor and associate it with a plot.</t>
  </si>
  <si>
    <t xml:space="preserve">Sensor &amp; Device Management</t>
  </si>
  <si>
    <t xml:space="preserve">SD-02</t>
  </si>
  <si>
    <t xml:space="preserve">Sensor Status Monitoring</t>
  </si>
  <si>
    <t xml:space="preserve">Display the real-time online/offline status of each registered sensor.</t>
  </si>
  <si>
    <t xml:space="preserve">SD-03</t>
  </si>
  <si>
    <t xml:space="preserve">Sensor Calibration</t>
  </si>
  <si>
    <t xml:space="preserve">Allow adjustment of calibration parameters for an individual sensor.</t>
  </si>
  <si>
    <t xml:space="preserve">SD-04</t>
  </si>
  <si>
    <t xml:space="preserve">Sensor Removal</t>
  </si>
  <si>
    <t xml:space="preserve">Allow deactivation or removal of a sensor from a plot.</t>
  </si>
  <si>
    <t xml:space="preserve">SD-05</t>
  </si>
  <si>
    <t xml:space="preserve">Low Battery Alert</t>
  </si>
  <si>
    <t xml:space="preserve">Notify the responsible user when a sensor's battery level falls below a defined threshold.</t>
  </si>
  <si>
    <t xml:space="preserve">DC-01</t>
  </si>
  <si>
    <t xml:space="preserve">Soil Moisture Data Ingestion</t>
  </si>
  <si>
    <t xml:space="preserve">Automatically collect soil-moisture readings from registered sensors at defined intervals.</t>
  </si>
  <si>
    <t xml:space="preserve">Data Collection &amp; Integration</t>
  </si>
  <si>
    <t xml:space="preserve">DC-02</t>
  </si>
  <si>
    <t xml:space="preserve">Weather Data Integration</t>
  </si>
  <si>
    <t xml:space="preserve">Retrieve current conditions and forecast data from an external weather API for each farm's location.</t>
  </si>
  <si>
    <t xml:space="preserve">DC-03</t>
  </si>
  <si>
    <t xml:space="preserve">Data Storage</t>
  </si>
  <si>
    <t xml:space="preserve">Store all sensor and weather readings in a time-stamped historical database.</t>
  </si>
  <si>
    <t xml:space="preserve">DC-04</t>
  </si>
  <si>
    <t xml:space="preserve">Data Validation</t>
  </si>
  <si>
    <t xml:space="preserve">Detect and flag anomalous or out-of-range sensor readings before they reach the scheduling engine.</t>
  </si>
  <si>
    <t xml:space="preserve">DC-05</t>
  </si>
  <si>
    <t xml:space="preserve">Manual Data Entry</t>
  </si>
  <si>
    <t xml:space="preserve">Allow a user to manually enter a soil-moisture reading when a sensor is temporarily unavailable.</t>
  </si>
  <si>
    <t xml:space="preserve">IS-01</t>
  </si>
  <si>
    <t xml:space="preserve">Irrigation Recommendation Generation</t>
  </si>
  <si>
    <t xml:space="preserve">Generate a daily irrigation recommendation per plot based on soil-moisture and weather data.</t>
  </si>
  <si>
    <t xml:space="preserve">Irrigation Scheduling Engine</t>
  </si>
  <si>
    <t xml:space="preserve">IS-02</t>
  </si>
  <si>
    <t xml:space="preserve">Schedule Adjustment</t>
  </si>
  <si>
    <t xml:space="preserve">Allow a user to manually override a system-generated irrigation recommendation.</t>
  </si>
  <si>
    <t xml:space="preserve">IS-03</t>
  </si>
  <si>
    <t xml:space="preserve">Crop Profile Configuration</t>
  </si>
  <si>
    <t xml:space="preserve">Allow a user to select a crop type per plot to refine irrigation calculations.</t>
  </si>
  <si>
    <t xml:space="preserve">IS-04</t>
  </si>
  <si>
    <t xml:space="preserve">Historical Schedule Log</t>
  </si>
  <si>
    <t xml:space="preserve">Maintain a record of past irrigation recommendations and whether each was followed.</t>
  </si>
  <si>
    <t xml:space="preserve">IS-05</t>
  </si>
  <si>
    <t xml:space="preserve">Water Usage Estimation</t>
  </si>
  <si>
    <t xml:space="preserve">Estimate the volume of water recommended per irrigation event.</t>
  </si>
  <si>
    <t xml:space="preserve">WD-01</t>
  </si>
  <si>
    <t xml:space="preserve">Dashboard Overview</t>
  </si>
  <si>
    <t xml:space="preserve">Display a summary view of all of a user's plots and their current irrigation status.</t>
  </si>
  <si>
    <t xml:space="preserve">Web Dashboard / UI</t>
  </si>
  <si>
    <t xml:space="preserve">WD-02</t>
  </si>
  <si>
    <t xml:space="preserve">Plot Detail View</t>
  </si>
  <si>
    <t xml:space="preserve">Display detailed sensor readings, weather data, and recommendations for a selected plot.</t>
  </si>
  <si>
    <t xml:space="preserve">WD-03</t>
  </si>
  <si>
    <t xml:space="preserve">Multilingual Interface</t>
  </si>
  <si>
    <t xml:space="preserve">Allow the user to switch the interface language between Spanish and English.</t>
  </si>
  <si>
    <t xml:space="preserve">WD-04</t>
  </si>
  <si>
    <t xml:space="preserve">Mobile-Responsive Layout</t>
  </si>
  <si>
    <t xml:space="preserve">Render the dashboard correctly on both mobile and desktop screen sizes.</t>
  </si>
  <si>
    <t xml:space="preserve">WD-05</t>
  </si>
  <si>
    <t xml:space="preserve">Historical Chart View</t>
  </si>
  <si>
    <t xml:space="preserve">Display a chart of soil-moisture trends over a user-selectable date range.</t>
  </si>
  <si>
    <t xml:space="preserve">NA-01</t>
  </si>
  <si>
    <t xml:space="preserve">SMS Irrigation Alert</t>
  </si>
  <si>
    <t xml:space="preserve">Send an SMS message with the daily irrigation recommendation to farmers without internet access.</t>
  </si>
  <si>
    <t xml:space="preserve">Notifications &amp; Alerts</t>
  </si>
  <si>
    <t xml:space="preserve">NA-02</t>
  </si>
  <si>
    <t xml:space="preserve">In-App Notification</t>
  </si>
  <si>
    <t xml:space="preserve">Display in-app alerts for new irrigation recommendations and sensor issues.</t>
  </si>
  <si>
    <t xml:space="preserve">NA-03</t>
  </si>
  <si>
    <t xml:space="preserve">Email Notification</t>
  </si>
  <si>
    <t xml:space="preserve">Send a weekly email summary of irrigation activity to the user.</t>
  </si>
  <si>
    <t xml:space="preserve">NA-04</t>
  </si>
  <si>
    <t xml:space="preserve">Alert Preferences</t>
  </si>
  <si>
    <t xml:space="preserve">Allow a user to configure which alerts they receive and through which channel (SMS, email, in-app).</t>
  </si>
  <si>
    <t xml:space="preserve">RA-01</t>
  </si>
  <si>
    <t xml:space="preserve">Water Savings Report</t>
  </si>
  <si>
    <t xml:space="preserve">Generate a report comparing estimated water usage against a manual-irrigation baseline.</t>
  </si>
  <si>
    <t xml:space="preserve">Reporting &amp; Analytics</t>
  </si>
  <si>
    <t xml:space="preserve">RA-02</t>
  </si>
  <si>
    <t xml:space="preserve">Yield Correlation Report</t>
  </si>
  <si>
    <t xml:space="preserve">Provide a report correlating irrigation adherence with reported crop outcomes.</t>
  </si>
  <si>
    <t xml:space="preserve">RA-03</t>
  </si>
  <si>
    <t xml:space="preserve">Export Report</t>
  </si>
  <si>
    <t xml:space="preserve">Allow a user to export a report as a PDF or CSV file.</t>
  </si>
  <si>
    <t xml:space="preserve">RA-04</t>
  </si>
  <si>
    <t xml:space="preserve">Seasonal Summary</t>
  </si>
  <si>
    <t xml:space="preserve">Generate an end-of-season summary of irrigation activity per plot.</t>
  </si>
  <si>
    <t xml:space="preserve">AC-01</t>
  </si>
  <si>
    <t xml:space="preserve">Role-Based Access Control</t>
  </si>
  <si>
    <t xml:space="preserve">Restrict system functions based on user role (farmer or administrator).</t>
  </si>
  <si>
    <t xml:space="preserve">Administration &amp; Configuration</t>
  </si>
  <si>
    <t xml:space="preserve">AC-02</t>
  </si>
  <si>
    <t xml:space="preserve">System Configuration</t>
  </si>
  <si>
    <t xml:space="preserve">Allow an administrator to configure global thresholds and default settings.</t>
  </si>
  <si>
    <t xml:space="preserve">AC-03</t>
  </si>
  <si>
    <t xml:space="preserve">Audit Log</t>
  </si>
  <si>
    <t xml:space="preserve">Record administrative actions for accountability and traceability.</t>
  </si>
  <si>
    <t xml:space="preserve">AC-04</t>
  </si>
  <si>
    <t xml:space="preserve">User Management (Admin)</t>
  </si>
  <si>
    <t xml:space="preserve">Allow an administrator to view, disable, or delete user accounts.</t>
  </si>
  <si>
    <t xml:space="preserve">AgroSense — Non-Functional Requirements</t>
  </si>
  <si>
    <t xml:space="preserve">Quality attributes the system must satisfy, independent of specific features.</t>
  </si>
  <si>
    <t xml:space="preserve">NFR-01</t>
  </si>
  <si>
    <t xml:space="preserve">Performance</t>
  </si>
  <si>
    <t xml:space="preserve">The system shall generate an irrigation recommendation within 5 seconds of a data request.</t>
  </si>
  <si>
    <t xml:space="preserve">NFR-02</t>
  </si>
  <si>
    <t xml:space="preserve">Availability</t>
  </si>
  <si>
    <t xml:space="preserve">The web platform shall be available at least 99% of the time, excluding scheduled maintenance.</t>
  </si>
  <si>
    <t xml:space="preserve">NFR-03</t>
  </si>
  <si>
    <t xml:space="preserve">Scalability</t>
  </si>
  <si>
    <t xml:space="preserve">The system shall support growth from a pilot group of 20 farms to at least 500 farms without architectural changes.</t>
  </si>
  <si>
    <t xml:space="preserve">NFR-04</t>
  </si>
  <si>
    <t xml:space="preserve">Security</t>
  </si>
  <si>
    <t xml:space="preserve">The system shall encrypt farmer data both in transit and at rest.</t>
  </si>
  <si>
    <t xml:space="preserve">NFR-05</t>
  </si>
  <si>
    <t xml:space="preserve">Usability</t>
  </si>
  <si>
    <t xml:space="preserve">A first-time user shall be able to complete farm registration in under 10 minutes without prior training.</t>
  </si>
  <si>
    <t xml:space="preserve">NFR-06</t>
  </si>
  <si>
    <t xml:space="preserve">Reliability</t>
  </si>
  <si>
    <t xml:space="preserve">The system shall correctly deliver SMS alerts to at least 98% of intended recipients.</t>
  </si>
  <si>
    <t xml:space="preserve">NFR-07</t>
  </si>
  <si>
    <t xml:space="preserve">Portability</t>
  </si>
  <si>
    <t xml:space="preserve">The web dashboard shall function correctly on the latest two versions of major browsers (Chrome, Firefox, Safari, Edge).</t>
  </si>
  <si>
    <t xml:space="preserve">NFR-08</t>
  </si>
  <si>
    <t xml:space="preserve">Maintainability</t>
  </si>
  <si>
    <t xml:space="preserve">The codebase shall follow a documented style guide and maintain automated test coverage of at least 70%.</t>
  </si>
  <si>
    <t xml:space="preserve">NFR-09</t>
  </si>
  <si>
    <t xml:space="preserve">Accessibility</t>
  </si>
  <si>
    <t xml:space="preserve">The dashboard shall meet WCAG 2.1 Level AA accessibility guidelines.</t>
  </si>
  <si>
    <t xml:space="preserve">NFR-10</t>
  </si>
  <si>
    <t xml:space="preserve">Data Retention</t>
  </si>
  <si>
    <t xml:space="preserve">Historical sensor and weather data shall be retained for at least 24 months for reporting purposes.</t>
  </si>
  <si>
    <t xml:space="preserve">NFR-11</t>
  </si>
  <si>
    <t xml:space="preserve">Localization</t>
  </si>
  <si>
    <t xml:space="preserve">The interface shall support both Spanish and English, with the ability to add further languages later.</t>
  </si>
  <si>
    <t xml:space="preserve">AgroSense — Modules Summary</t>
  </si>
  <si>
    <t xml:space="preserve">Module Code</t>
  </si>
  <si>
    <t xml:space="preserve">Module Name</t>
  </si>
  <si>
    <t xml:space="preserve"># of Functional Requirements</t>
  </si>
  <si>
    <t xml:space="preserve">UM</t>
  </si>
  <si>
    <t xml:space="preserve">SD</t>
  </si>
  <si>
    <t xml:space="preserve">DC</t>
  </si>
  <si>
    <t xml:space="preserve">IS</t>
  </si>
  <si>
    <t xml:space="preserve">WD</t>
  </si>
  <si>
    <t xml:space="preserve">NA</t>
  </si>
  <si>
    <t xml:space="preserve">RA</t>
  </si>
  <si>
    <t xml:space="preserve">AC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</si>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</sst>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A5C5C"/>
      <name val="Arial"/>
      <family val="0"/>
      <charset val="1"/>
    </font>
    <font>
      <i val="true"/>
      <sz val="10"/>
      <color rgb="FF5C737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A5C5C"/>
        <bgColor rgb="FF008080"/>
      </patternFill>
    </fill>
    <fill>
      <patternFill patternType="solid">
        <fgColor rgb="FFF2F6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5C5C"/>
      <rgbColor rgb="FFC0C0C0"/>
      <rgbColor rgb="FF808080"/>
      <rgbColor rgb="FF9999FF"/>
      <rgbColor rgb="FF993366"/>
      <rgbColor rgb="FFF2F6F5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737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2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3.85" hidden="false" customHeight="false" outlineLevel="0" collapsed="false">
      <c r="A5" s="4" t="s">
        <v>6</v>
      </c>
      <c r="B5" s="4" t="s">
        <v>7</v>
      </c>
      <c r="C5" s="5" t="s">
        <v>8</v>
      </c>
      <c r="D5" s="4" t="s">
        <v>9</v>
      </c>
    </row>
    <row r="6" customFormat="false" ht="23.85" hidden="false" customHeight="false" outlineLevel="0" collapsed="false">
      <c r="A6" s="6" t="s">
        <v>10</v>
      </c>
      <c r="B6" s="6" t="s">
        <v>11</v>
      </c>
      <c r="C6" s="7" t="s">
        <v>12</v>
      </c>
      <c r="D6" s="6" t="s">
        <v>9</v>
      </c>
    </row>
    <row r="7" customFormat="false" ht="15" hidden="false" customHeight="false" outlineLevel="0" collapsed="false">
      <c r="A7" s="4" t="s">
        <v>13</v>
      </c>
      <c r="B7" s="4" t="s">
        <v>14</v>
      </c>
      <c r="C7" s="5" t="s">
        <v>15</v>
      </c>
      <c r="D7" s="4" t="s">
        <v>9</v>
      </c>
    </row>
    <row r="8" customFormat="false" ht="15" hidden="false" customHeight="false" outlineLevel="0" collapsed="false">
      <c r="A8" s="6" t="s">
        <v>16</v>
      </c>
      <c r="B8" s="6" t="s">
        <v>17</v>
      </c>
      <c r="C8" s="7" t="s">
        <v>18</v>
      </c>
      <c r="D8" s="6" t="s">
        <v>9</v>
      </c>
    </row>
    <row r="9" customFormat="false" ht="15" hidden="false" customHeight="false" outlineLevel="0" collapsed="false">
      <c r="A9" s="4" t="s">
        <v>19</v>
      </c>
      <c r="B9" s="4" t="s">
        <v>20</v>
      </c>
      <c r="C9" s="5" t="s">
        <v>21</v>
      </c>
      <c r="D9" s="4" t="s">
        <v>9</v>
      </c>
    </row>
    <row r="10" customFormat="false" ht="23.85" hidden="false" customHeight="false" outlineLevel="0" collapsed="false">
      <c r="A10" s="6" t="s">
        <v>22</v>
      </c>
      <c r="B10" s="6" t="s">
        <v>23</v>
      </c>
      <c r="C10" s="7" t="s">
        <v>24</v>
      </c>
      <c r="D10" s="6" t="s">
        <v>25</v>
      </c>
    </row>
    <row r="11" customFormat="false" ht="15" hidden="false" customHeight="false" outlineLevel="0" collapsed="false">
      <c r="A11" s="4" t="s">
        <v>26</v>
      </c>
      <c r="B11" s="4" t="s">
        <v>27</v>
      </c>
      <c r="C11" s="5" t="s">
        <v>28</v>
      </c>
      <c r="D11" s="4" t="s">
        <v>25</v>
      </c>
    </row>
    <row r="12" customFormat="false" ht="15" hidden="false" customHeight="false" outlineLevel="0" collapsed="false">
      <c r="A12" s="6" t="s">
        <v>29</v>
      </c>
      <c r="B12" s="6" t="s">
        <v>30</v>
      </c>
      <c r="C12" s="7" t="s">
        <v>31</v>
      </c>
      <c r="D12" s="6" t="s">
        <v>25</v>
      </c>
    </row>
    <row r="13" customFormat="false" ht="15" hidden="false" customHeight="false" outlineLevel="0" collapsed="false">
      <c r="A13" s="4" t="s">
        <v>32</v>
      </c>
      <c r="B13" s="4" t="s">
        <v>33</v>
      </c>
      <c r="C13" s="5" t="s">
        <v>34</v>
      </c>
      <c r="D13" s="4" t="s">
        <v>25</v>
      </c>
    </row>
    <row r="14" customFormat="false" ht="23.85" hidden="false" customHeight="false" outlineLevel="0" collapsed="false">
      <c r="A14" s="6" t="s">
        <v>35</v>
      </c>
      <c r="B14" s="6" t="s">
        <v>36</v>
      </c>
      <c r="C14" s="7" t="s">
        <v>37</v>
      </c>
      <c r="D14" s="6" t="s">
        <v>25</v>
      </c>
    </row>
    <row r="15" customFormat="false" ht="23.85" hidden="false" customHeight="false" outlineLevel="0" collapsed="false">
      <c r="A15" s="4" t="s">
        <v>38</v>
      </c>
      <c r="B15" s="4" t="s">
        <v>39</v>
      </c>
      <c r="C15" s="5" t="s">
        <v>40</v>
      </c>
      <c r="D15" s="4" t="s">
        <v>41</v>
      </c>
    </row>
    <row r="16" customFormat="false" ht="23.85" hidden="false" customHeight="false" outlineLevel="0" collapsed="false">
      <c r="A16" s="6" t="s">
        <v>42</v>
      </c>
      <c r="B16" s="6" t="s">
        <v>43</v>
      </c>
      <c r="C16" s="7" t="s">
        <v>44</v>
      </c>
      <c r="D16" s="6" t="s">
        <v>41</v>
      </c>
    </row>
    <row r="17" customFormat="false" ht="15" hidden="false" customHeight="false" outlineLevel="0" collapsed="false">
      <c r="A17" s="4" t="s">
        <v>45</v>
      </c>
      <c r="B17" s="4" t="s">
        <v>46</v>
      </c>
      <c r="C17" s="5" t="s">
        <v>47</v>
      </c>
      <c r="D17" s="4" t="s">
        <v>41</v>
      </c>
    </row>
    <row r="18" customFormat="false" ht="23.85" hidden="false" customHeight="false" outlineLevel="0" collapsed="false">
      <c r="A18" s="6" t="s">
        <v>48</v>
      </c>
      <c r="B18" s="6" t="s">
        <v>49</v>
      </c>
      <c r="C18" s="7" t="s">
        <v>50</v>
      </c>
      <c r="D18" s="6" t="s">
        <v>41</v>
      </c>
    </row>
    <row r="19" customFormat="false" ht="23.85" hidden="false" customHeight="false" outlineLevel="0" collapsed="false">
      <c r="A19" s="4" t="s">
        <v>51</v>
      </c>
      <c r="B19" s="4" t="s">
        <v>52</v>
      </c>
      <c r="C19" s="5" t="s">
        <v>53</v>
      </c>
      <c r="D19" s="4" t="s">
        <v>41</v>
      </c>
    </row>
    <row r="20" customFormat="false" ht="23.85" hidden="false" customHeight="false" outlineLevel="0" collapsed="false">
      <c r="A20" s="6" t="s">
        <v>54</v>
      </c>
      <c r="B20" s="6" t="s">
        <v>55</v>
      </c>
      <c r="C20" s="7" t="s">
        <v>56</v>
      </c>
      <c r="D20" s="6" t="s">
        <v>57</v>
      </c>
    </row>
    <row r="21" customFormat="false" ht="15" hidden="false" customHeight="false" outlineLevel="0" collapsed="false">
      <c r="A21" s="4" t="s">
        <v>58</v>
      </c>
      <c r="B21" s="4" t="s">
        <v>59</v>
      </c>
      <c r="C21" s="5" t="s">
        <v>60</v>
      </c>
      <c r="D21" s="4" t="s">
        <v>57</v>
      </c>
    </row>
    <row r="22" customFormat="false" ht="15" hidden="false" customHeight="false" outlineLevel="0" collapsed="false">
      <c r="A22" s="6" t="s">
        <v>61</v>
      </c>
      <c r="B22" s="6" t="s">
        <v>62</v>
      </c>
      <c r="C22" s="7" t="s">
        <v>63</v>
      </c>
      <c r="D22" s="6" t="s">
        <v>57</v>
      </c>
    </row>
    <row r="23" customFormat="false" ht="15" hidden="false" customHeight="false" outlineLevel="0" collapsed="false">
      <c r="A23" s="4" t="s">
        <v>64</v>
      </c>
      <c r="B23" s="4" t="s">
        <v>65</v>
      </c>
      <c r="C23" s="5" t="s">
        <v>66</v>
      </c>
      <c r="D23" s="4" t="s">
        <v>57</v>
      </c>
    </row>
    <row r="24" customFormat="false" ht="15" hidden="false" customHeight="false" outlineLevel="0" collapsed="false">
      <c r="A24" s="6" t="s">
        <v>67</v>
      </c>
      <c r="B24" s="6" t="s">
        <v>68</v>
      </c>
      <c r="C24" s="7" t="s">
        <v>69</v>
      </c>
      <c r="D24" s="6" t="s">
        <v>57</v>
      </c>
    </row>
    <row r="25" customFormat="false" ht="15" hidden="false" customHeight="false" outlineLevel="0" collapsed="false">
      <c r="A25" s="4" t="s">
        <v>70</v>
      </c>
      <c r="B25" s="4" t="s">
        <v>71</v>
      </c>
      <c r="C25" s="5" t="s">
        <v>72</v>
      </c>
      <c r="D25" s="4" t="s">
        <v>73</v>
      </c>
    </row>
    <row r="26" customFormat="false" ht="23.85" hidden="false" customHeight="false" outlineLevel="0" collapsed="false">
      <c r="A26" s="6" t="s">
        <v>74</v>
      </c>
      <c r="B26" s="6" t="s">
        <v>75</v>
      </c>
      <c r="C26" s="7" t="s">
        <v>76</v>
      </c>
      <c r="D26" s="6" t="s">
        <v>73</v>
      </c>
    </row>
    <row r="27" customFormat="false" ht="15" hidden="false" customHeight="false" outlineLevel="0" collapsed="false">
      <c r="A27" s="4" t="s">
        <v>77</v>
      </c>
      <c r="B27" s="4" t="s">
        <v>78</v>
      </c>
      <c r="C27" s="5" t="s">
        <v>79</v>
      </c>
      <c r="D27" s="4" t="s">
        <v>73</v>
      </c>
    </row>
    <row r="28" customFormat="false" ht="15" hidden="false" customHeight="false" outlineLevel="0" collapsed="false">
      <c r="A28" s="6" t="s">
        <v>80</v>
      </c>
      <c r="B28" s="6" t="s">
        <v>81</v>
      </c>
      <c r="C28" s="7" t="s">
        <v>82</v>
      </c>
      <c r="D28" s="6" t="s">
        <v>73</v>
      </c>
    </row>
    <row r="29" customFormat="false" ht="15" hidden="false" customHeight="false" outlineLevel="0" collapsed="false">
      <c r="A29" s="4" t="s">
        <v>83</v>
      </c>
      <c r="B29" s="4" t="s">
        <v>84</v>
      </c>
      <c r="C29" s="5" t="s">
        <v>85</v>
      </c>
      <c r="D29" s="4" t="s">
        <v>73</v>
      </c>
    </row>
    <row r="30" customFormat="false" ht="23.85" hidden="false" customHeight="false" outlineLevel="0" collapsed="false">
      <c r="A30" s="6" t="s">
        <v>86</v>
      </c>
      <c r="B30" s="6" t="s">
        <v>87</v>
      </c>
      <c r="C30" s="7" t="s">
        <v>88</v>
      </c>
      <c r="D30" s="6" t="s">
        <v>89</v>
      </c>
    </row>
    <row r="31" customFormat="false" ht="15" hidden="false" customHeight="false" outlineLevel="0" collapsed="false">
      <c r="A31" s="4" t="s">
        <v>90</v>
      </c>
      <c r="B31" s="4" t="s">
        <v>91</v>
      </c>
      <c r="C31" s="5" t="s">
        <v>92</v>
      </c>
      <c r="D31" s="4" t="s">
        <v>89</v>
      </c>
    </row>
    <row r="32" customFormat="false" ht="15" hidden="false" customHeight="false" outlineLevel="0" collapsed="false">
      <c r="A32" s="6" t="s">
        <v>93</v>
      </c>
      <c r="B32" s="6" t="s">
        <v>94</v>
      </c>
      <c r="C32" s="7" t="s">
        <v>95</v>
      </c>
      <c r="D32" s="6" t="s">
        <v>89</v>
      </c>
    </row>
    <row r="33" customFormat="false" ht="23.85" hidden="false" customHeight="false" outlineLevel="0" collapsed="false">
      <c r="A33" s="4" t="s">
        <v>96</v>
      </c>
      <c r="B33" s="4" t="s">
        <v>97</v>
      </c>
      <c r="C33" s="5" t="s">
        <v>98</v>
      </c>
      <c r="D33" s="4" t="s">
        <v>89</v>
      </c>
    </row>
    <row r="34" customFormat="false" ht="23.85" hidden="false" customHeight="false" outlineLevel="0" collapsed="false">
      <c r="A34" s="6" t="s">
        <v>99</v>
      </c>
      <c r="B34" s="6" t="s">
        <v>100</v>
      </c>
      <c r="C34" s="7" t="s">
        <v>101</v>
      </c>
      <c r="D34" s="6" t="s">
        <v>102</v>
      </c>
    </row>
    <row r="35" customFormat="false" ht="15" hidden="false" customHeight="false" outlineLevel="0" collapsed="false">
      <c r="A35" s="4" t="s">
        <v>103</v>
      </c>
      <c r="B35" s="4" t="s">
        <v>104</v>
      </c>
      <c r="C35" s="5" t="s">
        <v>105</v>
      </c>
      <c r="D35" s="4" t="s">
        <v>102</v>
      </c>
    </row>
    <row r="36" customFormat="false" ht="15" hidden="false" customHeight="false" outlineLevel="0" collapsed="false">
      <c r="A36" s="6" t="s">
        <v>106</v>
      </c>
      <c r="B36" s="6" t="s">
        <v>107</v>
      </c>
      <c r="C36" s="7" t="s">
        <v>108</v>
      </c>
      <c r="D36" s="6" t="s">
        <v>102</v>
      </c>
    </row>
    <row r="37" customFormat="false" ht="15" hidden="false" customHeight="false" outlineLevel="0" collapsed="false">
      <c r="A37" s="4" t="s">
        <v>109</v>
      </c>
      <c r="B37" s="4" t="s">
        <v>110</v>
      </c>
      <c r="C37" s="5" t="s">
        <v>111</v>
      </c>
      <c r="D37" s="4" t="s">
        <v>102</v>
      </c>
    </row>
    <row r="38" customFormat="false" ht="15" hidden="false" customHeight="false" outlineLevel="0" collapsed="false">
      <c r="A38" s="6" t="s">
        <v>112</v>
      </c>
      <c r="B38" s="6" t="s">
        <v>113</v>
      </c>
      <c r="C38" s="7" t="s">
        <v>114</v>
      </c>
      <c r="D38" s="6" t="s">
        <v>115</v>
      </c>
    </row>
    <row r="39" customFormat="false" ht="15" hidden="false" customHeight="false" outlineLevel="0" collapsed="false">
      <c r="A39" s="4" t="s">
        <v>116</v>
      </c>
      <c r="B39" s="4" t="s">
        <v>117</v>
      </c>
      <c r="C39" s="5" t="s">
        <v>118</v>
      </c>
      <c r="D39" s="4" t="s">
        <v>115</v>
      </c>
    </row>
    <row r="40" customFormat="false" ht="15" hidden="false" customHeight="false" outlineLevel="0" collapsed="false">
      <c r="A40" s="6" t="s">
        <v>119</v>
      </c>
      <c r="B40" s="6" t="s">
        <v>120</v>
      </c>
      <c r="C40" s="7" t="s">
        <v>121</v>
      </c>
      <c r="D40" s="6" t="s">
        <v>115</v>
      </c>
    </row>
    <row r="41" customFormat="false" ht="15" hidden="false" customHeight="false" outlineLevel="0" collapsed="false">
      <c r="A41" s="4" t="s">
        <v>122</v>
      </c>
      <c r="B41" s="4" t="s">
        <v>123</v>
      </c>
      <c r="C41" s="5" t="s">
        <v>124</v>
      </c>
      <c r="D41" s="4" t="s">
        <v>115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125</v>
      </c>
      <c r="B1" s="1"/>
      <c r="C1" s="1"/>
    </row>
    <row r="2" customFormat="false" ht="15" hidden="false" customHeight="false" outlineLevel="0" collapsed="false">
      <c r="A2" s="2" t="s">
        <v>126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127</v>
      </c>
      <c r="B5" s="4" t="s">
        <v>128</v>
      </c>
      <c r="C5" s="5" t="s">
        <v>129</v>
      </c>
    </row>
    <row r="6" customFormat="false" ht="15" hidden="false" customHeight="false" outlineLevel="0" collapsed="false">
      <c r="A6" s="6" t="s">
        <v>130</v>
      </c>
      <c r="B6" s="6" t="s">
        <v>131</v>
      </c>
      <c r="C6" s="7" t="s">
        <v>132</v>
      </c>
    </row>
    <row r="7" customFormat="false" ht="23.85" hidden="false" customHeight="false" outlineLevel="0" collapsed="false">
      <c r="A7" s="4" t="s">
        <v>133</v>
      </c>
      <c r="B7" s="4" t="s">
        <v>134</v>
      </c>
      <c r="C7" s="5" t="s">
        <v>135</v>
      </c>
    </row>
    <row r="8" customFormat="false" ht="15" hidden="false" customHeight="false" outlineLevel="0" collapsed="false">
      <c r="A8" s="6" t="s">
        <v>136</v>
      </c>
      <c r="B8" s="6" t="s">
        <v>137</v>
      </c>
      <c r="C8" s="7" t="s">
        <v>138</v>
      </c>
    </row>
    <row r="9" customFormat="false" ht="15" hidden="false" customHeight="false" outlineLevel="0" collapsed="false">
      <c r="A9" s="4" t="s">
        <v>139</v>
      </c>
      <c r="B9" s="4" t="s">
        <v>140</v>
      </c>
      <c r="C9" s="5" t="s">
        <v>141</v>
      </c>
    </row>
    <row r="10" customFormat="false" ht="15" hidden="false" customHeight="false" outlineLevel="0" collapsed="false">
      <c r="A10" s="6" t="s">
        <v>142</v>
      </c>
      <c r="B10" s="6" t="s">
        <v>143</v>
      </c>
      <c r="C10" s="7" t="s">
        <v>144</v>
      </c>
    </row>
    <row r="11" customFormat="false" ht="23.85" hidden="false" customHeight="false" outlineLevel="0" collapsed="false">
      <c r="A11" s="4" t="s">
        <v>145</v>
      </c>
      <c r="B11" s="4" t="s">
        <v>146</v>
      </c>
      <c r="C11" s="5" t="s">
        <v>147</v>
      </c>
    </row>
    <row r="12" customFormat="false" ht="15" hidden="false" customHeight="false" outlineLevel="0" collapsed="false">
      <c r="A12" s="6" t="s">
        <v>148</v>
      </c>
      <c r="B12" s="6" t="s">
        <v>149</v>
      </c>
      <c r="C12" s="7" t="s">
        <v>150</v>
      </c>
    </row>
    <row r="13" customFormat="false" ht="15" hidden="false" customHeight="false" outlineLevel="0" collapsed="false">
      <c r="A13" s="4" t="s">
        <v>151</v>
      </c>
      <c r="B13" s="4" t="s">
        <v>152</v>
      </c>
      <c r="C13" s="5" t="s">
        <v>153</v>
      </c>
    </row>
    <row r="14" customFormat="false" ht="15" hidden="false" customHeight="false" outlineLevel="0" collapsed="false">
      <c r="A14" s="6" t="s">
        <v>154</v>
      </c>
      <c r="B14" s="6" t="s">
        <v>155</v>
      </c>
      <c r="C14" s="7" t="s">
        <v>156</v>
      </c>
    </row>
    <row r="15" customFormat="false" ht="15" hidden="false" customHeight="false" outlineLevel="0" collapsed="false">
      <c r="A15" s="4" t="s">
        <v>157</v>
      </c>
      <c r="B15" s="4" t="s">
        <v>158</v>
      </c>
      <c r="C15" s="5" t="s">
        <v>159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30"/>
  </cols>
  <sheetData>
    <row r="1" customFormat="false" ht="17.35" hidden="false" customHeight="false" outlineLevel="0" collapsed="false">
      <c r="A1" s="1" t="s">
        <v>160</v>
      </c>
      <c r="B1" s="1"/>
      <c r="C1" s="1"/>
    </row>
    <row r="3" customFormat="false" ht="15" hidden="false" customHeight="false" outlineLevel="0" collapsed="false">
      <c r="A3" s="8" t="s">
        <v>161</v>
      </c>
      <c r="B3" s="8" t="s">
        <v>162</v>
      </c>
      <c r="C3" s="8" t="s">
        <v>163</v>
      </c>
    </row>
    <row r="4" customFormat="false" ht="15" hidden="false" customHeight="false" outlineLevel="0" collapsed="false">
      <c r="A4" s="9" t="s">
        <v>164</v>
      </c>
      <c r="B4" s="9" t="s">
        <v>9</v>
      </c>
      <c r="C4" s="9" t="n">
        <f aca="false">COUNTIF('Functional Requirements'!D:D,B4)</f>
        <v>5</v>
      </c>
    </row>
    <row r="5" customFormat="false" ht="15" hidden="false" customHeight="false" outlineLevel="0" collapsed="false">
      <c r="A5" s="10" t="s">
        <v>165</v>
      </c>
      <c r="B5" s="10" t="s">
        <v>25</v>
      </c>
      <c r="C5" s="10" t="n">
        <f aca="false">COUNTIF('Functional Requirements'!D:D,B5)</f>
        <v>5</v>
      </c>
    </row>
    <row r="6" customFormat="false" ht="15" hidden="false" customHeight="false" outlineLevel="0" collapsed="false">
      <c r="A6" s="9" t="s">
        <v>166</v>
      </c>
      <c r="B6" s="9" t="s">
        <v>41</v>
      </c>
      <c r="C6" s="9" t="n">
        <f aca="false">COUNTIF('Functional Requirements'!D:D,B6)</f>
        <v>5</v>
      </c>
    </row>
    <row r="7" customFormat="false" ht="15" hidden="false" customHeight="false" outlineLevel="0" collapsed="false">
      <c r="A7" s="10" t="s">
        <v>167</v>
      </c>
      <c r="B7" s="10" t="s">
        <v>57</v>
      </c>
      <c r="C7" s="10" t="n">
        <f aca="false">COUNTIF('Functional Requirements'!D:D,B7)</f>
        <v>5</v>
      </c>
    </row>
    <row r="8" customFormat="false" ht="15" hidden="false" customHeight="false" outlineLevel="0" collapsed="false">
      <c r="A8" s="9" t="s">
        <v>168</v>
      </c>
      <c r="B8" s="9" t="s">
        <v>73</v>
      </c>
      <c r="C8" s="9" t="n">
        <f aca="false">COUNTIF('Functional Requirements'!D:D,B8)</f>
        <v>5</v>
      </c>
    </row>
    <row r="9" customFormat="false" ht="15" hidden="false" customHeight="false" outlineLevel="0" collapsed="false">
      <c r="A9" s="10" t="s">
        <v>169</v>
      </c>
      <c r="B9" s="10" t="s">
        <v>89</v>
      </c>
      <c r="C9" s="10" t="n">
        <f aca="false">COUNTIF('Functional Requirements'!D:D,B9)</f>
        <v>4</v>
      </c>
    </row>
    <row r="10" customFormat="false" ht="15" hidden="false" customHeight="false" outlineLevel="0" collapsed="false">
      <c r="A10" s="9" t="s">
        <v>170</v>
      </c>
      <c r="B10" s="9" t="s">
        <v>102</v>
      </c>
      <c r="C10" s="9" t="n">
        <f aca="false">COUNTIF('Functional Requirements'!D:D,B10)</f>
        <v>4</v>
      </c>
    </row>
    <row r="11" customFormat="false" ht="15" hidden="false" customHeight="false" outlineLevel="0" collapsed="false">
      <c r="A11" s="10" t="s">
        <v>171</v>
      </c>
      <c r="B11" s="10" t="s">
        <v>115</v>
      </c>
      <c r="C11" s="10" t="n">
        <f aca="false">COUNTIF('Functional Requirements'!D:D,B11)</f>
        <v>4</v>
      </c>
    </row>
    <row r="12" customFormat="false" ht="15" hidden="false" customHeight="false" outlineLevel="0" collapsed="false">
      <c r="A12" s="11"/>
      <c r="B12" s="12" t="s">
        <v>172</v>
      </c>
      <c r="C12" s="12" t="n">
        <f aca="false">SUM(C4:C11)</f>
        <v>37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2026-09-04T02:07:15Z</dcterms:created>
  <dc:creator>openpyxl</dc:creator>
  <dc:description/>
  <dc:language>en-US</dc:language>
  <cp:lastModifiedBy/>
  <dcterms:modified xsi:type="dcterms:W3CDTF">2026-09-04T02:07:15Z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